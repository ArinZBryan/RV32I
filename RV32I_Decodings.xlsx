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rinb\AICE2008\"/>
    </mc:Choice>
  </mc:AlternateContent>
  <xr:revisionPtr revIDLastSave="0" documentId="13_ncr:1_{CE5814DD-2855-4F54-A51A-595B24E025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1" l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D4" i="1"/>
  <c r="D20" i="1"/>
  <c r="D19" i="1"/>
  <c r="D18" i="1"/>
  <c r="D17" i="1"/>
  <c r="D16" i="1"/>
  <c r="D15" i="1"/>
  <c r="D14" i="1"/>
  <c r="D11" i="1"/>
  <c r="D10" i="1"/>
  <c r="D9" i="1"/>
  <c r="D8" i="1"/>
  <c r="D7" i="1"/>
  <c r="D6" i="1"/>
  <c r="D5" i="1"/>
  <c r="D34" i="1"/>
  <c r="D33" i="1"/>
  <c r="D32" i="1"/>
  <c r="D31" i="1"/>
  <c r="D30" i="1"/>
  <c r="D38" i="1"/>
  <c r="D37" i="1"/>
  <c r="D36" i="1"/>
  <c r="D35" i="1"/>
  <c r="D29" i="1"/>
  <c r="D28" i="1"/>
  <c r="D27" i="1"/>
  <c r="D26" i="1"/>
  <c r="D25" i="1"/>
  <c r="D24" i="1"/>
  <c r="D23" i="1"/>
  <c r="D22" i="1"/>
  <c r="D21" i="1"/>
  <c r="D13" i="1"/>
  <c r="D12" i="1"/>
  <c r="D3" i="1"/>
  <c r="D2" i="1"/>
</calcChain>
</file>

<file path=xl/sharedStrings.xml><?xml version="1.0" encoding="utf-8"?>
<sst xmlns="http://schemas.openxmlformats.org/spreadsheetml/2006/main" count="559" uniqueCount="181">
  <si>
    <t>Instruction</t>
  </si>
  <si>
    <t>Name</t>
  </si>
  <si>
    <t>Format</t>
  </si>
  <si>
    <t>Opcode</t>
  </si>
  <si>
    <t>Funct3</t>
  </si>
  <si>
    <t>Funct7</t>
  </si>
  <si>
    <t>Description</t>
  </si>
  <si>
    <t>imm</t>
  </si>
  <si>
    <t>ALU Operation</t>
  </si>
  <si>
    <t>Memory Operation</t>
  </si>
  <si>
    <t>Branch Operation</t>
  </si>
  <si>
    <t>add</t>
  </si>
  <si>
    <t>Add</t>
  </si>
  <si>
    <t>R</t>
  </si>
  <si>
    <t>rd = rs1 + rs2</t>
  </si>
  <si>
    <t>rs1</t>
  </si>
  <si>
    <t>rs2</t>
  </si>
  <si>
    <t>ALU_ADD</t>
  </si>
  <si>
    <t>MEM_PASSTHROUGH_ALU</t>
  </si>
  <si>
    <t>BRANCH_NOBRANCH</t>
  </si>
  <si>
    <t>sub</t>
  </si>
  <si>
    <t>Subtract</t>
  </si>
  <si>
    <t>rd = rs1 - rs2</t>
  </si>
  <si>
    <t>ALU_SUB</t>
  </si>
  <si>
    <t>xor</t>
  </si>
  <si>
    <t>Exclusive Or</t>
  </si>
  <si>
    <t>rd = rs1 ^ rs2</t>
  </si>
  <si>
    <t>ALU_XOR</t>
  </si>
  <si>
    <t>or</t>
  </si>
  <si>
    <t>OR</t>
  </si>
  <si>
    <t>rd = rs1 | rs2</t>
  </si>
  <si>
    <t>ALU_OR</t>
  </si>
  <si>
    <t>and</t>
  </si>
  <si>
    <t>And</t>
  </si>
  <si>
    <t>rd = rs1 &amp; rs2</t>
  </si>
  <si>
    <t>ALU_AND</t>
  </si>
  <si>
    <t>sll</t>
  </si>
  <si>
    <t>Shift Left (Logical)</t>
  </si>
  <si>
    <t>rd = rs1 &lt;&lt; rs2</t>
  </si>
  <si>
    <t>ALU_LSHL</t>
  </si>
  <si>
    <t>srl</t>
  </si>
  <si>
    <t>Shift Right (Logical)</t>
  </si>
  <si>
    <t>rd = rs1 &gt;&gt; rs2</t>
  </si>
  <si>
    <t>ALU_LSHR</t>
  </si>
  <si>
    <t>sra</t>
  </si>
  <si>
    <t>Shift Right (Arithmetic)</t>
  </si>
  <si>
    <t>rd = rs1 &gt;&gt;&gt; rs2</t>
  </si>
  <si>
    <t>ALU_ASHR</t>
  </si>
  <si>
    <t>slt</t>
  </si>
  <si>
    <t>Set Less Than</t>
  </si>
  <si>
    <t>rd = (rs1 &lt; rs2) ? 1 : 0</t>
  </si>
  <si>
    <t>ALU_SLT</t>
  </si>
  <si>
    <t>sltu</t>
  </si>
  <si>
    <t>Set Less Than (Unsigned)</t>
  </si>
  <si>
    <t>ALU_SLTU</t>
  </si>
  <si>
    <t>addi</t>
  </si>
  <si>
    <t>Add Immediate</t>
  </si>
  <si>
    <t>I</t>
  </si>
  <si>
    <t>rd = rs1 + imm</t>
  </si>
  <si>
    <t>xori</t>
  </si>
  <si>
    <t>Exclusive Or Immediate</t>
  </si>
  <si>
    <t>rd = rs1 ^ imm</t>
  </si>
  <si>
    <t>ori</t>
  </si>
  <si>
    <t>Or Immediate</t>
  </si>
  <si>
    <t>rd = rs1 | imm</t>
  </si>
  <si>
    <t>andi</t>
  </si>
  <si>
    <t>And Immediate</t>
  </si>
  <si>
    <t>rd = rs1 &amp; imm</t>
  </si>
  <si>
    <t>slli</t>
  </si>
  <si>
    <t>Shift Left (Logical) Immediate</t>
  </si>
  <si>
    <t>rd = rs1 &lt;&lt; imm[4:0]</t>
  </si>
  <si>
    <t>ALU_SHL</t>
  </si>
  <si>
    <t>srli</t>
  </si>
  <si>
    <t>Shift Right (Logical) Immediate</t>
  </si>
  <si>
    <t>rd = rs1 &gt;&gt; imm[4:0]</t>
  </si>
  <si>
    <t>ALU_SHR</t>
  </si>
  <si>
    <t>srai</t>
  </si>
  <si>
    <t>Shift Right (Arithmetic) Immediate</t>
  </si>
  <si>
    <t>rd = rs1 &gt;&gt;&gt; imm[4:0]</t>
  </si>
  <si>
    <t>slti</t>
  </si>
  <si>
    <t>Set Less Than Immediate</t>
  </si>
  <si>
    <t>rd = (rs1 &lt; imm) ? 1 : 0</t>
  </si>
  <si>
    <t>sltiu</t>
  </si>
  <si>
    <t>Set Less Than (Unsigned) Immediate</t>
  </si>
  <si>
    <t>lb</t>
  </si>
  <si>
    <t>Load Byte</t>
  </si>
  <si>
    <t>rd = {24'M[rs1 + imm][7], M[rs1 + imm][7:0]}</t>
  </si>
  <si>
    <t>MEM_READ_ALU</t>
  </si>
  <si>
    <t>lh</t>
  </si>
  <si>
    <t>Load Half</t>
  </si>
  <si>
    <t>rd = {16'M[rs1 + imm][15], M[rs1 + imm][15:0]}</t>
  </si>
  <si>
    <t>lw</t>
  </si>
  <si>
    <t>Load Word</t>
  </si>
  <si>
    <t>rd = M[rs1 + imm][31:0]</t>
  </si>
  <si>
    <t>lbu</t>
  </si>
  <si>
    <t>Load Byte (Unsigned)</t>
  </si>
  <si>
    <t>rd = {24'0, M[rs1 + imm][7:0]}</t>
  </si>
  <si>
    <t>lhu</t>
  </si>
  <si>
    <t>Load Half (Unsigned)</t>
  </si>
  <si>
    <t>rd = {16'0, M[rs1 + imm][15:0]}</t>
  </si>
  <si>
    <t>sb</t>
  </si>
  <si>
    <t>Store Byte</t>
  </si>
  <si>
    <t>S</t>
  </si>
  <si>
    <t>M[rs1 + imm][7:0] = rs2[7:0]</t>
  </si>
  <si>
    <t>MEM_WRITE_ALU</t>
  </si>
  <si>
    <t>sh</t>
  </si>
  <si>
    <t>Store Half</t>
  </si>
  <si>
    <t>M[rs1 + imm][15:0] = rs2[15:0]</t>
  </si>
  <si>
    <t>sw</t>
  </si>
  <si>
    <t>Store Word</t>
  </si>
  <si>
    <t>M[rs1 + imm][31:0] = rs2[31:0]</t>
  </si>
  <si>
    <t>beq</t>
  </si>
  <si>
    <t>Branch If Equal</t>
  </si>
  <si>
    <t>B</t>
  </si>
  <si>
    <t>if (rs1 == rs2) PC += imm</t>
  </si>
  <si>
    <t>BRANCH__OFF_ZERO</t>
  </si>
  <si>
    <t>bne</t>
  </si>
  <si>
    <t>Branch If Not Equal</t>
  </si>
  <si>
    <t>if (rs1 != rs2) PC += imm</t>
  </si>
  <si>
    <t>BRANCH_OFF_NZERO</t>
  </si>
  <si>
    <t>blt</t>
  </si>
  <si>
    <t>Branch If Less Than</t>
  </si>
  <si>
    <t>if (rs1 &lt; rs2) PC += imm</t>
  </si>
  <si>
    <t>bge</t>
  </si>
  <si>
    <t>Branch If Greater Than or Equal To</t>
  </si>
  <si>
    <t>if (rs1 &gt;= rs2) PC += imm</t>
  </si>
  <si>
    <t>BRANCH_OFF_ZERO</t>
  </si>
  <si>
    <t>bltu</t>
  </si>
  <si>
    <t>Branch If Less Than (Unsigned)</t>
  </si>
  <si>
    <t>bgeu</t>
  </si>
  <si>
    <t>Branch If Greater Than Or Equal To (Unsigned)</t>
  </si>
  <si>
    <t>jal</t>
  </si>
  <si>
    <t>Jump And Link</t>
  </si>
  <si>
    <t>J</t>
  </si>
  <si>
    <t>rd = PC + 4; PC += imm</t>
  </si>
  <si>
    <t>jalr</t>
  </si>
  <si>
    <t>Jump And Link Register</t>
  </si>
  <si>
    <t>rd = PC + 4; PC = rs1 + imm</t>
  </si>
  <si>
    <t>BRANCH_ALU</t>
  </si>
  <si>
    <t>lui</t>
  </si>
  <si>
    <t>Load Upper Immediate</t>
  </si>
  <si>
    <t>U</t>
  </si>
  <si>
    <t>rd = imm &lt;&lt; 12</t>
  </si>
  <si>
    <t>imm &lt;&lt; 12</t>
  </si>
  <si>
    <t>auipc</t>
  </si>
  <si>
    <t>Add Upper Immediate To Program Counter</t>
  </si>
  <si>
    <t>rd = PC + (imm &lt;&lt; 12)</t>
  </si>
  <si>
    <t>Result Route</t>
  </si>
  <si>
    <t>ALU_RD</t>
  </si>
  <si>
    <t>ALU_MEMREAD_RD</t>
  </si>
  <si>
    <t>ALU_MEMWRITE</t>
  </si>
  <si>
    <t>zero</t>
  </si>
  <si>
    <t>-</t>
  </si>
  <si>
    <t>Source Set</t>
  </si>
  <si>
    <t>RS1, RS2</t>
  </si>
  <si>
    <t>RS1, IMM</t>
  </si>
  <si>
    <t>PC, IMM</t>
  </si>
  <si>
    <t>Type</t>
  </si>
  <si>
    <t>funct7</t>
  </si>
  <si>
    <t>imm[11:0]</t>
  </si>
  <si>
    <t>imm[11:5]</t>
  </si>
  <si>
    <t>imm[20]</t>
  </si>
  <si>
    <t>imm[10:1]</t>
  </si>
  <si>
    <t>opcode</t>
  </si>
  <si>
    <t>rd</t>
  </si>
  <si>
    <t>imm[19:12]</t>
  </si>
  <si>
    <t>imm[11]</t>
  </si>
  <si>
    <t>imm[31:12]</t>
  </si>
  <si>
    <t>imm[12]</t>
  </si>
  <si>
    <t>imm[10:5]</t>
  </si>
  <si>
    <t>funct3</t>
  </si>
  <si>
    <t>imm[4:0]</t>
  </si>
  <si>
    <t>imm[4:1]</t>
  </si>
  <si>
    <t>PC_RD</t>
  </si>
  <si>
    <t>Memory Access Size</t>
  </si>
  <si>
    <t>MEMSIZE_NONE</t>
  </si>
  <si>
    <t>MEMSIZE_S8</t>
  </si>
  <si>
    <t>MEMSIZE_S16</t>
  </si>
  <si>
    <t>MEMSIZE_S32</t>
  </si>
  <si>
    <t>MEMSIZE_U8</t>
  </si>
  <si>
    <t>MEMSIZE_U16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</si>
</sst>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x0"/>
    <numFmt numFmtId="165" formatCode="0\x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0" xfId="0" applyFont="1" applyBorder="1" applyAlignment="1">
      <alignment wrapText="1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1" xfId="0" applyFont="1" applyBorder="1"/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18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W45"/>
  <sheetViews>
    <sheetView tabSelected="1" topLeftCell="M1" zoomScale="99" zoomScaleNormal="99" workbookViewId="0">
      <pane ySplit="1" topLeftCell="A34" activePane="bottomLeft" state="frozen"/>
      <selection pane="bottomLeft" activeCell="AQ45" activeCellId="1" sqref="A1:P38 Q39:AW45"/>
    </sheetView>
  </sheetViews>
  <sheetFormatPr defaultRowHeight="13.15" x14ac:dyDescent="0.4"/>
  <cols>
    <col min="1" max="1" width="8.59765625" style="36" bestFit="1" customWidth="1"/>
    <col min="2" max="2" width="34.59765625" style="8" bestFit="1" customWidth="1"/>
    <col min="3" max="3" width="6" style="15" bestFit="1" customWidth="1"/>
    <col min="4" max="4" width="7.265625" style="15" bestFit="1" customWidth="1"/>
    <col min="5" max="5" width="5.6640625" style="37" bestFit="1" customWidth="1"/>
    <col min="6" max="6" width="5.6640625" style="38" bestFit="1" customWidth="1"/>
    <col min="7" max="7" width="35.53125" style="8" bestFit="1" customWidth="1"/>
    <col min="8" max="8" width="3.9296875" style="39" bestFit="1" customWidth="1"/>
    <col min="9" max="9" width="3.9296875" style="15" bestFit="1" customWidth="1"/>
    <col min="10" max="10" width="8.46484375" style="15" bestFit="1" customWidth="1"/>
    <col min="11" max="11" width="8.265625" style="15" bestFit="1" customWidth="1"/>
    <col min="12" max="12" width="11.3984375" style="15" bestFit="1" customWidth="1"/>
    <col min="13" max="13" width="20.6640625" style="15" bestFit="1" customWidth="1"/>
    <col min="14" max="14" width="15.59765625" style="15" bestFit="1" customWidth="1"/>
    <col min="15" max="15" width="15.46484375" style="15" bestFit="1" customWidth="1"/>
    <col min="16" max="16" width="16.73046875" style="8" bestFit="1" customWidth="1"/>
    <col min="17" max="49" width="3.3984375" style="8" customWidth="1"/>
    <col min="50" max="52" width="7.46484375" style="8" customWidth="1"/>
    <col min="53" max="16384" width="9.06640625" style="8"/>
  </cols>
  <sheetData>
    <row r="1" spans="1:16" ht="19.5" customHeight="1" x14ac:dyDescent="0.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15</v>
      </c>
      <c r="I1" s="3" t="s">
        <v>16</v>
      </c>
      <c r="J1" s="3" t="s">
        <v>7</v>
      </c>
      <c r="K1" s="3" t="s">
        <v>153</v>
      </c>
      <c r="L1" s="3" t="s">
        <v>8</v>
      </c>
      <c r="M1" s="3" t="s">
        <v>9</v>
      </c>
      <c r="N1" s="3" t="s">
        <v>147</v>
      </c>
      <c r="O1" s="3" t="s">
        <v>174</v>
      </c>
      <c r="P1" s="7" t="s">
        <v>10</v>
      </c>
    </row>
    <row r="2" spans="1:16" ht="19.5" customHeight="1" x14ac:dyDescent="0.4">
      <c r="A2" s="9" t="s">
        <v>11</v>
      </c>
      <c r="B2" s="10" t="s">
        <v>12</v>
      </c>
      <c r="C2" s="11" t="s">
        <v>13</v>
      </c>
      <c r="D2" s="11" t="str">
        <f t="shared" ref="D2:D11" si="0">HEX2BIN("33", 7)</f>
        <v>0110011</v>
      </c>
      <c r="E2" s="12">
        <v>0</v>
      </c>
      <c r="F2" s="13">
        <v>0</v>
      </c>
      <c r="G2" s="10" t="s">
        <v>14</v>
      </c>
      <c r="H2" s="14" t="s">
        <v>15</v>
      </c>
      <c r="I2" s="11" t="s">
        <v>16</v>
      </c>
      <c r="J2" s="15" t="s">
        <v>151</v>
      </c>
      <c r="K2" s="15" t="s">
        <v>154</v>
      </c>
      <c r="L2" s="11" t="s">
        <v>17</v>
      </c>
      <c r="M2" s="11" t="s">
        <v>18</v>
      </c>
      <c r="N2" s="16" t="s">
        <v>148</v>
      </c>
      <c r="O2" s="15" t="s">
        <v>175</v>
      </c>
      <c r="P2" s="17" t="s">
        <v>19</v>
      </c>
    </row>
    <row r="3" spans="1:16" ht="19.5" customHeight="1" x14ac:dyDescent="0.4">
      <c r="A3" s="18" t="s">
        <v>20</v>
      </c>
      <c r="B3" s="19" t="s">
        <v>21</v>
      </c>
      <c r="C3" s="16" t="s">
        <v>13</v>
      </c>
      <c r="D3" s="16" t="str">
        <f t="shared" si="0"/>
        <v>0110011</v>
      </c>
      <c r="E3" s="12">
        <v>0</v>
      </c>
      <c r="F3" s="21">
        <v>20</v>
      </c>
      <c r="G3" s="19" t="s">
        <v>22</v>
      </c>
      <c r="H3" s="22" t="s">
        <v>15</v>
      </c>
      <c r="I3" s="16" t="s">
        <v>16</v>
      </c>
      <c r="J3" s="15" t="s">
        <v>151</v>
      </c>
      <c r="K3" s="15" t="s">
        <v>154</v>
      </c>
      <c r="L3" s="16" t="s">
        <v>23</v>
      </c>
      <c r="M3" s="16" t="s">
        <v>18</v>
      </c>
      <c r="N3" s="16" t="s">
        <v>148</v>
      </c>
      <c r="O3" s="15" t="s">
        <v>175</v>
      </c>
      <c r="P3" s="23" t="s">
        <v>19</v>
      </c>
    </row>
    <row r="4" spans="1:16" ht="19.5" customHeight="1" x14ac:dyDescent="0.4">
      <c r="A4" s="18" t="s">
        <v>24</v>
      </c>
      <c r="B4" s="19" t="s">
        <v>25</v>
      </c>
      <c r="C4" s="16" t="s">
        <v>13</v>
      </c>
      <c r="D4" s="16" t="str">
        <f t="shared" si="0"/>
        <v>0110011</v>
      </c>
      <c r="E4" s="20">
        <v>4</v>
      </c>
      <c r="F4" s="21">
        <v>0</v>
      </c>
      <c r="G4" s="19" t="s">
        <v>26</v>
      </c>
      <c r="H4" s="22" t="s">
        <v>15</v>
      </c>
      <c r="I4" s="16" t="s">
        <v>16</v>
      </c>
      <c r="J4" s="15" t="s">
        <v>151</v>
      </c>
      <c r="K4" s="15" t="s">
        <v>154</v>
      </c>
      <c r="L4" s="16" t="s">
        <v>27</v>
      </c>
      <c r="M4" s="16" t="s">
        <v>18</v>
      </c>
      <c r="N4" s="16" t="s">
        <v>148</v>
      </c>
      <c r="O4" s="15" t="s">
        <v>175</v>
      </c>
      <c r="P4" s="23" t="s">
        <v>19</v>
      </c>
    </row>
    <row r="5" spans="1:16" ht="19.5" customHeight="1" x14ac:dyDescent="0.4">
      <c r="A5" s="18" t="s">
        <v>28</v>
      </c>
      <c r="B5" s="19" t="s">
        <v>29</v>
      </c>
      <c r="C5" s="16" t="s">
        <v>13</v>
      </c>
      <c r="D5" s="16" t="str">
        <f t="shared" si="0"/>
        <v>0110011</v>
      </c>
      <c r="E5" s="20">
        <v>6</v>
      </c>
      <c r="F5" s="21">
        <v>0</v>
      </c>
      <c r="G5" s="19" t="s">
        <v>30</v>
      </c>
      <c r="H5" s="22" t="s">
        <v>15</v>
      </c>
      <c r="I5" s="16" t="s">
        <v>16</v>
      </c>
      <c r="J5" s="15" t="s">
        <v>151</v>
      </c>
      <c r="K5" s="15" t="s">
        <v>154</v>
      </c>
      <c r="L5" s="16" t="s">
        <v>31</v>
      </c>
      <c r="M5" s="16" t="s">
        <v>18</v>
      </c>
      <c r="N5" s="16" t="s">
        <v>148</v>
      </c>
      <c r="O5" s="15" t="s">
        <v>175</v>
      </c>
      <c r="P5" s="23" t="s">
        <v>19</v>
      </c>
    </row>
    <row r="6" spans="1:16" ht="19.5" customHeight="1" x14ac:dyDescent="0.4">
      <c r="A6" s="18" t="s">
        <v>32</v>
      </c>
      <c r="B6" s="19" t="s">
        <v>33</v>
      </c>
      <c r="C6" s="16" t="s">
        <v>13</v>
      </c>
      <c r="D6" s="16" t="str">
        <f t="shared" si="0"/>
        <v>0110011</v>
      </c>
      <c r="E6" s="20">
        <v>7</v>
      </c>
      <c r="F6" s="21">
        <v>0</v>
      </c>
      <c r="G6" s="19" t="s">
        <v>34</v>
      </c>
      <c r="H6" s="22" t="s">
        <v>15</v>
      </c>
      <c r="I6" s="16" t="s">
        <v>16</v>
      </c>
      <c r="J6" s="15" t="s">
        <v>151</v>
      </c>
      <c r="K6" s="15" t="s">
        <v>154</v>
      </c>
      <c r="L6" s="16" t="s">
        <v>35</v>
      </c>
      <c r="M6" s="16" t="s">
        <v>18</v>
      </c>
      <c r="N6" s="16" t="s">
        <v>148</v>
      </c>
      <c r="O6" s="15" t="s">
        <v>175</v>
      </c>
      <c r="P6" s="23" t="s">
        <v>19</v>
      </c>
    </row>
    <row r="7" spans="1:16" ht="19.5" customHeight="1" x14ac:dyDescent="0.4">
      <c r="A7" s="18" t="s">
        <v>36</v>
      </c>
      <c r="B7" s="19" t="s">
        <v>37</v>
      </c>
      <c r="C7" s="16" t="s">
        <v>13</v>
      </c>
      <c r="D7" s="16" t="str">
        <f t="shared" si="0"/>
        <v>0110011</v>
      </c>
      <c r="E7" s="20">
        <v>1</v>
      </c>
      <c r="F7" s="21">
        <v>0</v>
      </c>
      <c r="G7" s="19" t="s">
        <v>38</v>
      </c>
      <c r="H7" s="22" t="s">
        <v>15</v>
      </c>
      <c r="I7" s="16" t="s">
        <v>16</v>
      </c>
      <c r="J7" s="15" t="s">
        <v>151</v>
      </c>
      <c r="K7" s="15" t="s">
        <v>154</v>
      </c>
      <c r="L7" s="16" t="s">
        <v>39</v>
      </c>
      <c r="M7" s="16" t="s">
        <v>18</v>
      </c>
      <c r="N7" s="16" t="s">
        <v>148</v>
      </c>
      <c r="O7" s="15" t="s">
        <v>175</v>
      </c>
      <c r="P7" s="23" t="s">
        <v>19</v>
      </c>
    </row>
    <row r="8" spans="1:16" ht="19.5" customHeight="1" x14ac:dyDescent="0.4">
      <c r="A8" s="18" t="s">
        <v>40</v>
      </c>
      <c r="B8" s="19" t="s">
        <v>41</v>
      </c>
      <c r="C8" s="16" t="s">
        <v>13</v>
      </c>
      <c r="D8" s="16" t="str">
        <f t="shared" si="0"/>
        <v>0110011</v>
      </c>
      <c r="E8" s="20">
        <v>5</v>
      </c>
      <c r="F8" s="21">
        <v>0</v>
      </c>
      <c r="G8" s="19" t="s">
        <v>42</v>
      </c>
      <c r="H8" s="22" t="s">
        <v>15</v>
      </c>
      <c r="I8" s="16" t="s">
        <v>16</v>
      </c>
      <c r="J8" s="15" t="s">
        <v>151</v>
      </c>
      <c r="K8" s="15" t="s">
        <v>154</v>
      </c>
      <c r="L8" s="16" t="s">
        <v>43</v>
      </c>
      <c r="M8" s="16" t="s">
        <v>18</v>
      </c>
      <c r="N8" s="16" t="s">
        <v>148</v>
      </c>
      <c r="O8" s="15" t="s">
        <v>175</v>
      </c>
      <c r="P8" s="23" t="s">
        <v>19</v>
      </c>
    </row>
    <row r="9" spans="1:16" ht="19.5" customHeight="1" x14ac:dyDescent="0.4">
      <c r="A9" s="18" t="s">
        <v>44</v>
      </c>
      <c r="B9" s="19" t="s">
        <v>45</v>
      </c>
      <c r="C9" s="16" t="s">
        <v>13</v>
      </c>
      <c r="D9" s="16" t="str">
        <f t="shared" si="0"/>
        <v>0110011</v>
      </c>
      <c r="E9" s="20">
        <v>5</v>
      </c>
      <c r="F9" s="21">
        <v>20</v>
      </c>
      <c r="G9" s="19" t="s">
        <v>46</v>
      </c>
      <c r="H9" s="22" t="s">
        <v>15</v>
      </c>
      <c r="I9" s="16" t="s">
        <v>16</v>
      </c>
      <c r="J9" s="15" t="s">
        <v>151</v>
      </c>
      <c r="K9" s="15" t="s">
        <v>154</v>
      </c>
      <c r="L9" s="16" t="s">
        <v>47</v>
      </c>
      <c r="M9" s="16" t="s">
        <v>18</v>
      </c>
      <c r="N9" s="16" t="s">
        <v>148</v>
      </c>
      <c r="O9" s="15" t="s">
        <v>175</v>
      </c>
      <c r="P9" s="23" t="s">
        <v>19</v>
      </c>
    </row>
    <row r="10" spans="1:16" ht="19.5" customHeight="1" x14ac:dyDescent="0.4">
      <c r="A10" s="18" t="s">
        <v>48</v>
      </c>
      <c r="B10" s="19" t="s">
        <v>49</v>
      </c>
      <c r="C10" s="16" t="s">
        <v>13</v>
      </c>
      <c r="D10" s="16" t="str">
        <f t="shared" si="0"/>
        <v>0110011</v>
      </c>
      <c r="E10" s="20">
        <v>2</v>
      </c>
      <c r="F10" s="21">
        <v>0</v>
      </c>
      <c r="G10" s="19" t="s">
        <v>50</v>
      </c>
      <c r="H10" s="22" t="s">
        <v>15</v>
      </c>
      <c r="I10" s="16" t="s">
        <v>16</v>
      </c>
      <c r="J10" s="15" t="s">
        <v>151</v>
      </c>
      <c r="K10" s="15" t="s">
        <v>154</v>
      </c>
      <c r="L10" s="16" t="s">
        <v>51</v>
      </c>
      <c r="M10" s="16" t="s">
        <v>18</v>
      </c>
      <c r="N10" s="16" t="s">
        <v>148</v>
      </c>
      <c r="O10" s="15" t="s">
        <v>175</v>
      </c>
      <c r="P10" s="23" t="s">
        <v>19</v>
      </c>
    </row>
    <row r="11" spans="1:16" ht="19.5" customHeight="1" x14ac:dyDescent="0.4">
      <c r="A11" s="24" t="s">
        <v>52</v>
      </c>
      <c r="B11" s="25" t="s">
        <v>53</v>
      </c>
      <c r="C11" s="26" t="s">
        <v>13</v>
      </c>
      <c r="D11" s="26" t="str">
        <f t="shared" si="0"/>
        <v>0110011</v>
      </c>
      <c r="E11" s="27">
        <v>3</v>
      </c>
      <c r="F11" s="28">
        <v>0</v>
      </c>
      <c r="G11" s="25" t="s">
        <v>50</v>
      </c>
      <c r="H11" s="29" t="s">
        <v>15</v>
      </c>
      <c r="I11" s="26" t="s">
        <v>16</v>
      </c>
      <c r="J11" s="26" t="s">
        <v>151</v>
      </c>
      <c r="K11" s="26" t="s">
        <v>154</v>
      </c>
      <c r="L11" s="26" t="s">
        <v>54</v>
      </c>
      <c r="M11" s="26" t="s">
        <v>18</v>
      </c>
      <c r="N11" s="26" t="s">
        <v>148</v>
      </c>
      <c r="O11" s="26" t="s">
        <v>175</v>
      </c>
      <c r="P11" s="30" t="s">
        <v>19</v>
      </c>
    </row>
    <row r="12" spans="1:16" ht="19.5" customHeight="1" x14ac:dyDescent="0.4">
      <c r="A12" s="9" t="s">
        <v>55</v>
      </c>
      <c r="B12" s="10" t="s">
        <v>56</v>
      </c>
      <c r="C12" s="11" t="s">
        <v>57</v>
      </c>
      <c r="D12" s="11" t="str">
        <f t="shared" ref="D12:D20" si="1">HEX2BIN(13,7)</f>
        <v>0010011</v>
      </c>
      <c r="E12" s="12">
        <v>0</v>
      </c>
      <c r="F12" s="13">
        <v>0</v>
      </c>
      <c r="G12" s="10" t="s">
        <v>58</v>
      </c>
      <c r="H12" s="14" t="s">
        <v>15</v>
      </c>
      <c r="I12" s="11" t="s">
        <v>151</v>
      </c>
      <c r="J12" s="15" t="s">
        <v>7</v>
      </c>
      <c r="K12" s="15" t="s">
        <v>155</v>
      </c>
      <c r="L12" s="11" t="s">
        <v>17</v>
      </c>
      <c r="M12" s="11" t="s">
        <v>18</v>
      </c>
      <c r="N12" s="16" t="s">
        <v>148</v>
      </c>
      <c r="O12" s="15" t="s">
        <v>175</v>
      </c>
      <c r="P12" s="17" t="s">
        <v>19</v>
      </c>
    </row>
    <row r="13" spans="1:16" ht="19.5" customHeight="1" x14ac:dyDescent="0.4">
      <c r="A13" s="18" t="s">
        <v>59</v>
      </c>
      <c r="B13" s="19" t="s">
        <v>60</v>
      </c>
      <c r="C13" s="16" t="s">
        <v>57</v>
      </c>
      <c r="D13" s="16" t="str">
        <f t="shared" si="1"/>
        <v>0010011</v>
      </c>
      <c r="E13" s="20">
        <v>4</v>
      </c>
      <c r="F13" s="21">
        <v>0</v>
      </c>
      <c r="G13" s="19" t="s">
        <v>61</v>
      </c>
      <c r="H13" s="22" t="s">
        <v>15</v>
      </c>
      <c r="I13" s="16" t="s">
        <v>151</v>
      </c>
      <c r="J13" s="15" t="s">
        <v>7</v>
      </c>
      <c r="K13" s="15" t="s">
        <v>155</v>
      </c>
      <c r="L13" s="16" t="s">
        <v>27</v>
      </c>
      <c r="M13" s="16" t="s">
        <v>18</v>
      </c>
      <c r="N13" s="16" t="s">
        <v>148</v>
      </c>
      <c r="O13" s="15" t="s">
        <v>175</v>
      </c>
      <c r="P13" s="23" t="s">
        <v>19</v>
      </c>
    </row>
    <row r="14" spans="1:16" ht="19.5" customHeight="1" x14ac:dyDescent="0.4">
      <c r="A14" s="18" t="s">
        <v>62</v>
      </c>
      <c r="B14" s="19" t="s">
        <v>63</v>
      </c>
      <c r="C14" s="16" t="s">
        <v>57</v>
      </c>
      <c r="D14" s="16" t="str">
        <f t="shared" si="1"/>
        <v>0010011</v>
      </c>
      <c r="E14" s="20">
        <v>6</v>
      </c>
      <c r="F14" s="21">
        <v>0</v>
      </c>
      <c r="G14" s="19" t="s">
        <v>64</v>
      </c>
      <c r="H14" s="22" t="s">
        <v>15</v>
      </c>
      <c r="I14" s="16" t="s">
        <v>151</v>
      </c>
      <c r="J14" s="15" t="s">
        <v>7</v>
      </c>
      <c r="K14" s="15" t="s">
        <v>155</v>
      </c>
      <c r="L14" s="16" t="s">
        <v>31</v>
      </c>
      <c r="M14" s="16" t="s">
        <v>18</v>
      </c>
      <c r="N14" s="16" t="s">
        <v>148</v>
      </c>
      <c r="O14" s="15" t="s">
        <v>175</v>
      </c>
      <c r="P14" s="23" t="s">
        <v>19</v>
      </c>
    </row>
    <row r="15" spans="1:16" ht="19.5" customHeight="1" x14ac:dyDescent="0.4">
      <c r="A15" s="18" t="s">
        <v>65</v>
      </c>
      <c r="B15" s="19" t="s">
        <v>66</v>
      </c>
      <c r="C15" s="16" t="s">
        <v>57</v>
      </c>
      <c r="D15" s="16" t="str">
        <f t="shared" si="1"/>
        <v>0010011</v>
      </c>
      <c r="E15" s="20">
        <v>7</v>
      </c>
      <c r="F15" s="21">
        <v>0</v>
      </c>
      <c r="G15" s="19" t="s">
        <v>67</v>
      </c>
      <c r="H15" s="22" t="s">
        <v>15</v>
      </c>
      <c r="I15" s="16" t="s">
        <v>151</v>
      </c>
      <c r="J15" s="15" t="s">
        <v>7</v>
      </c>
      <c r="K15" s="15" t="s">
        <v>155</v>
      </c>
      <c r="L15" s="16" t="s">
        <v>35</v>
      </c>
      <c r="M15" s="16" t="s">
        <v>18</v>
      </c>
      <c r="N15" s="16" t="s">
        <v>148</v>
      </c>
      <c r="O15" s="15" t="s">
        <v>175</v>
      </c>
      <c r="P15" s="23" t="s">
        <v>19</v>
      </c>
    </row>
    <row r="16" spans="1:16" ht="19.5" customHeight="1" x14ac:dyDescent="0.4">
      <c r="A16" s="18" t="s">
        <v>68</v>
      </c>
      <c r="B16" s="19" t="s">
        <v>69</v>
      </c>
      <c r="C16" s="16" t="s">
        <v>57</v>
      </c>
      <c r="D16" s="16" t="str">
        <f t="shared" si="1"/>
        <v>0010011</v>
      </c>
      <c r="E16" s="20">
        <v>1</v>
      </c>
      <c r="F16" s="21">
        <v>0</v>
      </c>
      <c r="G16" s="19" t="s">
        <v>70</v>
      </c>
      <c r="H16" s="22" t="s">
        <v>15</v>
      </c>
      <c r="I16" s="16" t="s">
        <v>151</v>
      </c>
      <c r="J16" s="15" t="s">
        <v>7</v>
      </c>
      <c r="K16" s="15" t="s">
        <v>155</v>
      </c>
      <c r="L16" s="16" t="s">
        <v>71</v>
      </c>
      <c r="M16" s="16" t="s">
        <v>18</v>
      </c>
      <c r="N16" s="16" t="s">
        <v>148</v>
      </c>
      <c r="O16" s="15" t="s">
        <v>175</v>
      </c>
      <c r="P16" s="23" t="s">
        <v>19</v>
      </c>
    </row>
    <row r="17" spans="1:16" ht="19.5" customHeight="1" x14ac:dyDescent="0.4">
      <c r="A17" s="18" t="s">
        <v>72</v>
      </c>
      <c r="B17" s="19" t="s">
        <v>73</v>
      </c>
      <c r="C17" s="16" t="s">
        <v>57</v>
      </c>
      <c r="D17" s="16" t="str">
        <f t="shared" si="1"/>
        <v>0010011</v>
      </c>
      <c r="E17" s="20">
        <v>5</v>
      </c>
      <c r="F17" s="21">
        <v>0</v>
      </c>
      <c r="G17" s="19" t="s">
        <v>74</v>
      </c>
      <c r="H17" s="22" t="s">
        <v>15</v>
      </c>
      <c r="I17" s="16" t="s">
        <v>151</v>
      </c>
      <c r="J17" s="15" t="s">
        <v>7</v>
      </c>
      <c r="K17" s="15" t="s">
        <v>155</v>
      </c>
      <c r="L17" s="16" t="s">
        <v>75</v>
      </c>
      <c r="M17" s="16" t="s">
        <v>18</v>
      </c>
      <c r="N17" s="16" t="s">
        <v>148</v>
      </c>
      <c r="O17" s="15" t="s">
        <v>175</v>
      </c>
      <c r="P17" s="23" t="s">
        <v>19</v>
      </c>
    </row>
    <row r="18" spans="1:16" ht="19.5" customHeight="1" x14ac:dyDescent="0.4">
      <c r="A18" s="18" t="s">
        <v>76</v>
      </c>
      <c r="B18" s="19" t="s">
        <v>77</v>
      </c>
      <c r="C18" s="16" t="s">
        <v>57</v>
      </c>
      <c r="D18" s="16" t="str">
        <f t="shared" si="1"/>
        <v>0010011</v>
      </c>
      <c r="E18" s="20">
        <v>5</v>
      </c>
      <c r="F18" s="21">
        <v>20</v>
      </c>
      <c r="G18" s="19" t="s">
        <v>78</v>
      </c>
      <c r="H18" s="22" t="s">
        <v>15</v>
      </c>
      <c r="I18" s="16" t="s">
        <v>151</v>
      </c>
      <c r="J18" s="15" t="s">
        <v>7</v>
      </c>
      <c r="K18" s="15" t="s">
        <v>155</v>
      </c>
      <c r="L18" s="16" t="s">
        <v>75</v>
      </c>
      <c r="M18" s="16" t="s">
        <v>18</v>
      </c>
      <c r="N18" s="16" t="s">
        <v>148</v>
      </c>
      <c r="O18" s="15" t="s">
        <v>175</v>
      </c>
      <c r="P18" s="23" t="s">
        <v>19</v>
      </c>
    </row>
    <row r="19" spans="1:16" ht="19.5" customHeight="1" x14ac:dyDescent="0.4">
      <c r="A19" s="18" t="s">
        <v>79</v>
      </c>
      <c r="B19" s="19" t="s">
        <v>80</v>
      </c>
      <c r="C19" s="16" t="s">
        <v>57</v>
      </c>
      <c r="D19" s="16" t="str">
        <f t="shared" si="1"/>
        <v>0010011</v>
      </c>
      <c r="E19" s="20">
        <v>2</v>
      </c>
      <c r="F19" s="21">
        <v>0</v>
      </c>
      <c r="G19" s="19" t="s">
        <v>81</v>
      </c>
      <c r="H19" s="22" t="s">
        <v>15</v>
      </c>
      <c r="I19" s="16" t="s">
        <v>151</v>
      </c>
      <c r="J19" s="15" t="s">
        <v>7</v>
      </c>
      <c r="K19" s="15" t="s">
        <v>155</v>
      </c>
      <c r="L19" s="16" t="s">
        <v>51</v>
      </c>
      <c r="M19" s="16" t="s">
        <v>18</v>
      </c>
      <c r="N19" s="16" t="s">
        <v>148</v>
      </c>
      <c r="O19" s="15" t="s">
        <v>175</v>
      </c>
      <c r="P19" s="23" t="s">
        <v>19</v>
      </c>
    </row>
    <row r="20" spans="1:16" ht="19.5" customHeight="1" x14ac:dyDescent="0.4">
      <c r="A20" s="24" t="s">
        <v>82</v>
      </c>
      <c r="B20" s="25" t="s">
        <v>83</v>
      </c>
      <c r="C20" s="26" t="s">
        <v>57</v>
      </c>
      <c r="D20" s="26" t="str">
        <f t="shared" si="1"/>
        <v>0010011</v>
      </c>
      <c r="E20" s="27">
        <v>3</v>
      </c>
      <c r="F20" s="28">
        <v>0</v>
      </c>
      <c r="G20" s="25" t="s">
        <v>81</v>
      </c>
      <c r="H20" s="29" t="s">
        <v>15</v>
      </c>
      <c r="I20" s="26" t="s">
        <v>151</v>
      </c>
      <c r="J20" s="26" t="s">
        <v>7</v>
      </c>
      <c r="K20" s="26" t="s">
        <v>155</v>
      </c>
      <c r="L20" s="26" t="s">
        <v>54</v>
      </c>
      <c r="M20" s="26" t="s">
        <v>18</v>
      </c>
      <c r="N20" s="16" t="s">
        <v>148</v>
      </c>
      <c r="O20" s="26" t="s">
        <v>175</v>
      </c>
      <c r="P20" s="30" t="s">
        <v>19</v>
      </c>
    </row>
    <row r="21" spans="1:16" ht="19.5" customHeight="1" x14ac:dyDescent="0.4">
      <c r="A21" s="9" t="s">
        <v>84</v>
      </c>
      <c r="B21" s="10" t="s">
        <v>85</v>
      </c>
      <c r="C21" s="11" t="s">
        <v>57</v>
      </c>
      <c r="D21" s="11" t="str">
        <f>HEX2BIN(3,7)</f>
        <v>0000011</v>
      </c>
      <c r="E21" s="12">
        <v>0</v>
      </c>
      <c r="F21" s="31" t="s">
        <v>152</v>
      </c>
      <c r="G21" s="10" t="s">
        <v>86</v>
      </c>
      <c r="H21" s="14" t="s">
        <v>15</v>
      </c>
      <c r="I21" s="11" t="s">
        <v>151</v>
      </c>
      <c r="J21" s="15" t="s">
        <v>7</v>
      </c>
      <c r="K21" s="15" t="s">
        <v>155</v>
      </c>
      <c r="L21" s="11" t="s">
        <v>17</v>
      </c>
      <c r="M21" s="11" t="s">
        <v>87</v>
      </c>
      <c r="N21" s="11" t="s">
        <v>149</v>
      </c>
      <c r="O21" s="15" t="s">
        <v>176</v>
      </c>
      <c r="P21" s="17" t="s">
        <v>19</v>
      </c>
    </row>
    <row r="22" spans="1:16" ht="19.5" customHeight="1" x14ac:dyDescent="0.4">
      <c r="A22" s="18" t="s">
        <v>88</v>
      </c>
      <c r="B22" s="19" t="s">
        <v>89</v>
      </c>
      <c r="C22" s="16" t="s">
        <v>57</v>
      </c>
      <c r="D22" s="16" t="str">
        <f>HEX2BIN(3,7)</f>
        <v>0000011</v>
      </c>
      <c r="E22" s="20">
        <v>1</v>
      </c>
      <c r="F22" s="32" t="s">
        <v>152</v>
      </c>
      <c r="G22" s="19" t="s">
        <v>90</v>
      </c>
      <c r="H22" s="22" t="s">
        <v>15</v>
      </c>
      <c r="I22" s="16" t="s">
        <v>151</v>
      </c>
      <c r="J22" s="15" t="s">
        <v>7</v>
      </c>
      <c r="K22" s="15" t="s">
        <v>155</v>
      </c>
      <c r="L22" s="16" t="s">
        <v>17</v>
      </c>
      <c r="M22" s="16" t="s">
        <v>87</v>
      </c>
      <c r="N22" s="16" t="s">
        <v>149</v>
      </c>
      <c r="O22" s="15" t="s">
        <v>177</v>
      </c>
      <c r="P22" s="23" t="s">
        <v>19</v>
      </c>
    </row>
    <row r="23" spans="1:16" ht="19.5" customHeight="1" x14ac:dyDescent="0.4">
      <c r="A23" s="18" t="s">
        <v>91</v>
      </c>
      <c r="B23" s="19" t="s">
        <v>92</v>
      </c>
      <c r="C23" s="16" t="s">
        <v>57</v>
      </c>
      <c r="D23" s="16" t="str">
        <f>HEX2BIN(3,7)</f>
        <v>0000011</v>
      </c>
      <c r="E23" s="20">
        <v>2</v>
      </c>
      <c r="F23" s="32" t="s">
        <v>152</v>
      </c>
      <c r="G23" s="19" t="s">
        <v>93</v>
      </c>
      <c r="H23" s="22" t="s">
        <v>15</v>
      </c>
      <c r="I23" s="16" t="s">
        <v>151</v>
      </c>
      <c r="J23" s="15" t="s">
        <v>7</v>
      </c>
      <c r="K23" s="15" t="s">
        <v>155</v>
      </c>
      <c r="L23" s="16" t="s">
        <v>17</v>
      </c>
      <c r="M23" s="16" t="s">
        <v>87</v>
      </c>
      <c r="N23" s="16" t="s">
        <v>149</v>
      </c>
      <c r="O23" s="15" t="s">
        <v>178</v>
      </c>
      <c r="P23" s="23" t="s">
        <v>19</v>
      </c>
    </row>
    <row r="24" spans="1:16" ht="19.5" customHeight="1" x14ac:dyDescent="0.4">
      <c r="A24" s="18" t="s">
        <v>94</v>
      </c>
      <c r="B24" s="19" t="s">
        <v>95</v>
      </c>
      <c r="C24" s="16" t="s">
        <v>57</v>
      </c>
      <c r="D24" s="16" t="str">
        <f>HEX2BIN(3,7)</f>
        <v>0000011</v>
      </c>
      <c r="E24" s="20">
        <v>4</v>
      </c>
      <c r="F24" s="32" t="s">
        <v>152</v>
      </c>
      <c r="G24" s="19" t="s">
        <v>96</v>
      </c>
      <c r="H24" s="22" t="s">
        <v>15</v>
      </c>
      <c r="I24" s="16" t="s">
        <v>151</v>
      </c>
      <c r="J24" s="15" t="s">
        <v>7</v>
      </c>
      <c r="K24" s="15" t="s">
        <v>155</v>
      </c>
      <c r="L24" s="16" t="s">
        <v>17</v>
      </c>
      <c r="M24" s="16" t="s">
        <v>87</v>
      </c>
      <c r="N24" s="16" t="s">
        <v>149</v>
      </c>
      <c r="O24" s="15" t="s">
        <v>179</v>
      </c>
      <c r="P24" s="23" t="s">
        <v>19</v>
      </c>
    </row>
    <row r="25" spans="1:16" ht="19.5" customHeight="1" x14ac:dyDescent="0.4">
      <c r="A25" s="24" t="s">
        <v>97</v>
      </c>
      <c r="B25" s="25" t="s">
        <v>98</v>
      </c>
      <c r="C25" s="26" t="s">
        <v>57</v>
      </c>
      <c r="D25" s="26" t="str">
        <f>HEX2BIN(3,7)</f>
        <v>0000011</v>
      </c>
      <c r="E25" s="27">
        <v>5</v>
      </c>
      <c r="F25" s="33" t="s">
        <v>152</v>
      </c>
      <c r="G25" s="25" t="s">
        <v>99</v>
      </c>
      <c r="H25" s="29" t="s">
        <v>15</v>
      </c>
      <c r="I25" s="26" t="s">
        <v>151</v>
      </c>
      <c r="J25" s="26" t="s">
        <v>7</v>
      </c>
      <c r="K25" s="26" t="s">
        <v>155</v>
      </c>
      <c r="L25" s="26" t="s">
        <v>17</v>
      </c>
      <c r="M25" s="26" t="s">
        <v>87</v>
      </c>
      <c r="N25" s="16" t="s">
        <v>149</v>
      </c>
      <c r="O25" s="26" t="s">
        <v>180</v>
      </c>
      <c r="P25" s="30" t="s">
        <v>19</v>
      </c>
    </row>
    <row r="26" spans="1:16" ht="19.5" customHeight="1" x14ac:dyDescent="0.4">
      <c r="A26" s="9" t="s">
        <v>100</v>
      </c>
      <c r="B26" s="10" t="s">
        <v>101</v>
      </c>
      <c r="C26" s="11" t="s">
        <v>102</v>
      </c>
      <c r="D26" s="11" t="str">
        <f>HEX2BIN(23,7)</f>
        <v>0100011</v>
      </c>
      <c r="E26" s="12">
        <v>0</v>
      </c>
      <c r="F26" s="31" t="s">
        <v>152</v>
      </c>
      <c r="G26" s="10" t="s">
        <v>103</v>
      </c>
      <c r="H26" s="14" t="s">
        <v>15</v>
      </c>
      <c r="I26" s="11" t="s">
        <v>151</v>
      </c>
      <c r="J26" s="15" t="s">
        <v>7</v>
      </c>
      <c r="K26" s="15" t="s">
        <v>155</v>
      </c>
      <c r="L26" s="11" t="s">
        <v>17</v>
      </c>
      <c r="M26" s="11" t="s">
        <v>104</v>
      </c>
      <c r="N26" s="11" t="s">
        <v>150</v>
      </c>
      <c r="O26" s="15" t="s">
        <v>179</v>
      </c>
      <c r="P26" s="17" t="s">
        <v>19</v>
      </c>
    </row>
    <row r="27" spans="1:16" ht="19.5" customHeight="1" x14ac:dyDescent="0.4">
      <c r="A27" s="18" t="s">
        <v>105</v>
      </c>
      <c r="B27" s="19" t="s">
        <v>106</v>
      </c>
      <c r="C27" s="16" t="s">
        <v>102</v>
      </c>
      <c r="D27" s="16" t="str">
        <f>HEX2BIN(23,7)</f>
        <v>0100011</v>
      </c>
      <c r="E27" s="20">
        <v>1</v>
      </c>
      <c r="F27" s="32" t="s">
        <v>152</v>
      </c>
      <c r="G27" s="19" t="s">
        <v>107</v>
      </c>
      <c r="H27" s="22" t="s">
        <v>15</v>
      </c>
      <c r="I27" s="16" t="s">
        <v>151</v>
      </c>
      <c r="J27" s="15" t="s">
        <v>7</v>
      </c>
      <c r="K27" s="15" t="s">
        <v>155</v>
      </c>
      <c r="L27" s="16" t="s">
        <v>17</v>
      </c>
      <c r="M27" s="16" t="s">
        <v>104</v>
      </c>
      <c r="N27" s="16" t="s">
        <v>150</v>
      </c>
      <c r="O27" s="15" t="s">
        <v>180</v>
      </c>
      <c r="P27" s="23" t="s">
        <v>19</v>
      </c>
    </row>
    <row r="28" spans="1:16" ht="19.5" customHeight="1" x14ac:dyDescent="0.4">
      <c r="A28" s="24" t="s">
        <v>108</v>
      </c>
      <c r="B28" s="25" t="s">
        <v>109</v>
      </c>
      <c r="C28" s="26" t="s">
        <v>102</v>
      </c>
      <c r="D28" s="26" t="str">
        <f>HEX2BIN(23,7)</f>
        <v>0100011</v>
      </c>
      <c r="E28" s="27">
        <v>2</v>
      </c>
      <c r="F28" s="33" t="s">
        <v>152</v>
      </c>
      <c r="G28" s="25" t="s">
        <v>110</v>
      </c>
      <c r="H28" s="29" t="s">
        <v>15</v>
      </c>
      <c r="I28" s="26" t="s">
        <v>151</v>
      </c>
      <c r="J28" s="26" t="s">
        <v>7</v>
      </c>
      <c r="K28" s="26" t="s">
        <v>155</v>
      </c>
      <c r="L28" s="26" t="s">
        <v>17</v>
      </c>
      <c r="M28" s="26" t="s">
        <v>104</v>
      </c>
      <c r="N28" s="16" t="s">
        <v>150</v>
      </c>
      <c r="O28" s="26" t="s">
        <v>178</v>
      </c>
      <c r="P28" s="30" t="s">
        <v>19</v>
      </c>
    </row>
    <row r="29" spans="1:16" ht="19.5" customHeight="1" x14ac:dyDescent="0.4">
      <c r="A29" s="9" t="s">
        <v>111</v>
      </c>
      <c r="B29" s="10" t="s">
        <v>112</v>
      </c>
      <c r="C29" s="11" t="s">
        <v>113</v>
      </c>
      <c r="D29" s="11" t="str">
        <f t="shared" ref="D29:D34" si="2">HEX2BIN(63,7)</f>
        <v>1100011</v>
      </c>
      <c r="E29" s="12">
        <v>0</v>
      </c>
      <c r="F29" s="31" t="s">
        <v>152</v>
      </c>
      <c r="G29" s="10" t="s">
        <v>114</v>
      </c>
      <c r="H29" s="14" t="s">
        <v>15</v>
      </c>
      <c r="I29" s="11" t="s">
        <v>16</v>
      </c>
      <c r="J29" s="15" t="s">
        <v>7</v>
      </c>
      <c r="K29" s="15" t="s">
        <v>154</v>
      </c>
      <c r="L29" s="11" t="s">
        <v>27</v>
      </c>
      <c r="M29" s="11" t="s">
        <v>18</v>
      </c>
      <c r="N29" s="11" t="s">
        <v>148</v>
      </c>
      <c r="O29" s="15" t="s">
        <v>175</v>
      </c>
      <c r="P29" s="17" t="s">
        <v>115</v>
      </c>
    </row>
    <row r="30" spans="1:16" ht="19.5" customHeight="1" x14ac:dyDescent="0.4">
      <c r="A30" s="18" t="s">
        <v>116</v>
      </c>
      <c r="B30" s="19" t="s">
        <v>117</v>
      </c>
      <c r="C30" s="16" t="s">
        <v>113</v>
      </c>
      <c r="D30" s="16" t="str">
        <f t="shared" si="2"/>
        <v>1100011</v>
      </c>
      <c r="E30" s="20">
        <v>1</v>
      </c>
      <c r="F30" s="32" t="s">
        <v>152</v>
      </c>
      <c r="G30" s="19" t="s">
        <v>118</v>
      </c>
      <c r="H30" s="22" t="s">
        <v>15</v>
      </c>
      <c r="I30" s="16" t="s">
        <v>16</v>
      </c>
      <c r="J30" s="15" t="s">
        <v>7</v>
      </c>
      <c r="K30" s="15" t="s">
        <v>154</v>
      </c>
      <c r="L30" s="16" t="s">
        <v>27</v>
      </c>
      <c r="M30" s="16" t="s">
        <v>18</v>
      </c>
      <c r="N30" s="16" t="s">
        <v>148</v>
      </c>
      <c r="O30" s="15" t="s">
        <v>175</v>
      </c>
      <c r="P30" s="23" t="s">
        <v>119</v>
      </c>
    </row>
    <row r="31" spans="1:16" ht="19.5" customHeight="1" x14ac:dyDescent="0.4">
      <c r="A31" s="18" t="s">
        <v>120</v>
      </c>
      <c r="B31" s="19" t="s">
        <v>121</v>
      </c>
      <c r="C31" s="16" t="s">
        <v>113</v>
      </c>
      <c r="D31" s="16" t="str">
        <f t="shared" si="2"/>
        <v>1100011</v>
      </c>
      <c r="E31" s="20">
        <v>4</v>
      </c>
      <c r="F31" s="32" t="s">
        <v>152</v>
      </c>
      <c r="G31" s="19" t="s">
        <v>122</v>
      </c>
      <c r="H31" s="22" t="s">
        <v>15</v>
      </c>
      <c r="I31" s="16" t="s">
        <v>16</v>
      </c>
      <c r="J31" s="15" t="s">
        <v>7</v>
      </c>
      <c r="K31" s="15" t="s">
        <v>154</v>
      </c>
      <c r="L31" s="16" t="s">
        <v>51</v>
      </c>
      <c r="M31" s="16" t="s">
        <v>18</v>
      </c>
      <c r="N31" s="16" t="s">
        <v>148</v>
      </c>
      <c r="O31" s="15" t="s">
        <v>175</v>
      </c>
      <c r="P31" s="23" t="s">
        <v>119</v>
      </c>
    </row>
    <row r="32" spans="1:16" ht="19.5" customHeight="1" x14ac:dyDescent="0.4">
      <c r="A32" s="18" t="s">
        <v>123</v>
      </c>
      <c r="B32" s="19" t="s">
        <v>124</v>
      </c>
      <c r="C32" s="16" t="s">
        <v>113</v>
      </c>
      <c r="D32" s="16" t="str">
        <f t="shared" si="2"/>
        <v>1100011</v>
      </c>
      <c r="E32" s="20">
        <v>5</v>
      </c>
      <c r="F32" s="32" t="s">
        <v>152</v>
      </c>
      <c r="G32" s="19" t="s">
        <v>125</v>
      </c>
      <c r="H32" s="22" t="s">
        <v>15</v>
      </c>
      <c r="I32" s="16" t="s">
        <v>16</v>
      </c>
      <c r="J32" s="15" t="s">
        <v>7</v>
      </c>
      <c r="K32" s="15" t="s">
        <v>154</v>
      </c>
      <c r="L32" s="16" t="s">
        <v>51</v>
      </c>
      <c r="M32" s="16" t="s">
        <v>18</v>
      </c>
      <c r="N32" s="16" t="s">
        <v>148</v>
      </c>
      <c r="O32" s="15" t="s">
        <v>175</v>
      </c>
      <c r="P32" s="23" t="s">
        <v>126</v>
      </c>
    </row>
    <row r="33" spans="1:49" ht="19.5" customHeight="1" x14ac:dyDescent="0.4">
      <c r="A33" s="18" t="s">
        <v>127</v>
      </c>
      <c r="B33" s="19" t="s">
        <v>128</v>
      </c>
      <c r="C33" s="16" t="s">
        <v>113</v>
      </c>
      <c r="D33" s="16" t="str">
        <f t="shared" si="2"/>
        <v>1100011</v>
      </c>
      <c r="E33" s="20">
        <v>6</v>
      </c>
      <c r="F33" s="32" t="s">
        <v>152</v>
      </c>
      <c r="G33" s="19" t="s">
        <v>122</v>
      </c>
      <c r="H33" s="22" t="s">
        <v>15</v>
      </c>
      <c r="I33" s="16" t="s">
        <v>16</v>
      </c>
      <c r="J33" s="15" t="s">
        <v>7</v>
      </c>
      <c r="K33" s="15" t="s">
        <v>154</v>
      </c>
      <c r="L33" s="16" t="s">
        <v>54</v>
      </c>
      <c r="M33" s="16" t="s">
        <v>18</v>
      </c>
      <c r="N33" s="16" t="s">
        <v>148</v>
      </c>
      <c r="O33" s="15" t="s">
        <v>175</v>
      </c>
      <c r="P33" s="23" t="s">
        <v>119</v>
      </c>
    </row>
    <row r="34" spans="1:49" ht="19.5" customHeight="1" x14ac:dyDescent="0.4">
      <c r="A34" s="24" t="s">
        <v>129</v>
      </c>
      <c r="B34" s="25" t="s">
        <v>130</v>
      </c>
      <c r="C34" s="26" t="s">
        <v>113</v>
      </c>
      <c r="D34" s="26" t="str">
        <f t="shared" si="2"/>
        <v>1100011</v>
      </c>
      <c r="E34" s="27">
        <v>7</v>
      </c>
      <c r="F34" s="33" t="s">
        <v>152</v>
      </c>
      <c r="G34" s="25" t="s">
        <v>125</v>
      </c>
      <c r="H34" s="29" t="s">
        <v>15</v>
      </c>
      <c r="I34" s="26" t="s">
        <v>16</v>
      </c>
      <c r="J34" s="26" t="s">
        <v>7</v>
      </c>
      <c r="K34" s="26" t="s">
        <v>154</v>
      </c>
      <c r="L34" s="26" t="s">
        <v>54</v>
      </c>
      <c r="M34" s="26" t="s">
        <v>18</v>
      </c>
      <c r="N34" s="26" t="s">
        <v>148</v>
      </c>
      <c r="O34" s="26" t="s">
        <v>175</v>
      </c>
      <c r="P34" s="30" t="s">
        <v>126</v>
      </c>
    </row>
    <row r="35" spans="1:49" ht="19.5" customHeight="1" x14ac:dyDescent="0.4">
      <c r="A35" s="18" t="s">
        <v>131</v>
      </c>
      <c r="B35" s="19" t="s">
        <v>132</v>
      </c>
      <c r="C35" s="16" t="s">
        <v>133</v>
      </c>
      <c r="D35" s="16" t="str">
        <f>HEX2BIN("6f",7)</f>
        <v>1101111</v>
      </c>
      <c r="E35" s="20" t="s">
        <v>152</v>
      </c>
      <c r="F35" s="32" t="s">
        <v>152</v>
      </c>
      <c r="G35" s="19" t="s">
        <v>134</v>
      </c>
      <c r="H35" s="34" t="s">
        <v>151</v>
      </c>
      <c r="I35" s="16" t="s">
        <v>151</v>
      </c>
      <c r="J35" s="15" t="s">
        <v>7</v>
      </c>
      <c r="K35" s="15" t="s">
        <v>156</v>
      </c>
      <c r="L35" s="16" t="s">
        <v>17</v>
      </c>
      <c r="M35" s="16" t="s">
        <v>18</v>
      </c>
      <c r="N35" s="16" t="s">
        <v>173</v>
      </c>
      <c r="O35" s="15" t="s">
        <v>175</v>
      </c>
      <c r="P35" s="23" t="s">
        <v>138</v>
      </c>
    </row>
    <row r="36" spans="1:49" ht="19.5" customHeight="1" x14ac:dyDescent="0.4">
      <c r="A36" s="18" t="s">
        <v>135</v>
      </c>
      <c r="B36" s="19" t="s">
        <v>136</v>
      </c>
      <c r="C36" s="16" t="s">
        <v>57</v>
      </c>
      <c r="D36" s="16" t="str">
        <f>HEX2BIN(67,7)</f>
        <v>1100111</v>
      </c>
      <c r="E36" s="20">
        <v>0</v>
      </c>
      <c r="F36" s="32" t="s">
        <v>152</v>
      </c>
      <c r="G36" s="19" t="s">
        <v>137</v>
      </c>
      <c r="H36" s="22" t="s">
        <v>15</v>
      </c>
      <c r="I36" s="26" t="s">
        <v>151</v>
      </c>
      <c r="J36" s="26" t="s">
        <v>7</v>
      </c>
      <c r="K36" s="26" t="s">
        <v>155</v>
      </c>
      <c r="L36" s="16" t="s">
        <v>17</v>
      </c>
      <c r="M36" s="16" t="s">
        <v>18</v>
      </c>
      <c r="N36" s="26" t="s">
        <v>173</v>
      </c>
      <c r="O36" s="26" t="s">
        <v>175</v>
      </c>
      <c r="P36" s="23" t="s">
        <v>138</v>
      </c>
    </row>
    <row r="37" spans="1:49" ht="19.5" customHeight="1" x14ac:dyDescent="0.4">
      <c r="A37" s="9" t="s">
        <v>139</v>
      </c>
      <c r="B37" s="10" t="s">
        <v>140</v>
      </c>
      <c r="C37" s="11" t="s">
        <v>141</v>
      </c>
      <c r="D37" s="11" t="str">
        <f>HEX2BIN(37,7)</f>
        <v>0110111</v>
      </c>
      <c r="E37" s="12" t="s">
        <v>152</v>
      </c>
      <c r="F37" s="31" t="s">
        <v>152</v>
      </c>
      <c r="G37" s="10" t="s">
        <v>142</v>
      </c>
      <c r="H37" s="35" t="s">
        <v>151</v>
      </c>
      <c r="I37" s="16" t="s">
        <v>151</v>
      </c>
      <c r="J37" s="16" t="s">
        <v>143</v>
      </c>
      <c r="K37" s="16" t="s">
        <v>155</v>
      </c>
      <c r="L37" s="11" t="s">
        <v>17</v>
      </c>
      <c r="M37" s="11" t="s">
        <v>18</v>
      </c>
      <c r="N37" s="16" t="s">
        <v>148</v>
      </c>
      <c r="O37" s="15" t="s">
        <v>175</v>
      </c>
      <c r="P37" s="17" t="s">
        <v>19</v>
      </c>
    </row>
    <row r="38" spans="1:49" ht="19.5" customHeight="1" thickBot="1" x14ac:dyDescent="0.45">
      <c r="A38" s="24" t="s">
        <v>144</v>
      </c>
      <c r="B38" s="25" t="s">
        <v>145</v>
      </c>
      <c r="C38" s="26" t="s">
        <v>141</v>
      </c>
      <c r="D38" s="26" t="str">
        <f>HEX2BIN(17,7)</f>
        <v>0010111</v>
      </c>
      <c r="E38" s="27" t="s">
        <v>152</v>
      </c>
      <c r="F38" s="33" t="s">
        <v>152</v>
      </c>
      <c r="G38" s="25" t="s">
        <v>146</v>
      </c>
      <c r="H38" s="29" t="s">
        <v>151</v>
      </c>
      <c r="I38" s="26" t="s">
        <v>151</v>
      </c>
      <c r="J38" s="26" t="s">
        <v>143</v>
      </c>
      <c r="K38" s="26" t="s">
        <v>156</v>
      </c>
      <c r="L38" s="26" t="s">
        <v>17</v>
      </c>
      <c r="M38" s="26" t="s">
        <v>18</v>
      </c>
      <c r="N38" s="26" t="s">
        <v>148</v>
      </c>
      <c r="O38" s="26" t="s">
        <v>175</v>
      </c>
      <c r="P38" s="30" t="s">
        <v>19</v>
      </c>
    </row>
    <row r="39" spans="1:49" ht="19.5" customHeight="1" thickBot="1" x14ac:dyDescent="0.45">
      <c r="Q39" s="50" t="s">
        <v>157</v>
      </c>
      <c r="R39" s="45">
        <v>31</v>
      </c>
      <c r="S39" s="45">
        <v>30</v>
      </c>
      <c r="T39" s="45">
        <v>29</v>
      </c>
      <c r="U39" s="45">
        <f>T39-1</f>
        <v>28</v>
      </c>
      <c r="V39" s="45">
        <f>U39-1</f>
        <v>27</v>
      </c>
      <c r="W39" s="45">
        <f>V39-1</f>
        <v>26</v>
      </c>
      <c r="X39" s="45">
        <f>W39-1</f>
        <v>25</v>
      </c>
      <c r="Y39" s="45">
        <f>X39-1</f>
        <v>24</v>
      </c>
      <c r="Z39" s="45">
        <f>Y39-1</f>
        <v>23</v>
      </c>
      <c r="AA39" s="45">
        <f>Z39-1</f>
        <v>22</v>
      </c>
      <c r="AB39" s="45">
        <f>AA39-1</f>
        <v>21</v>
      </c>
      <c r="AC39" s="45">
        <f>AB39-1</f>
        <v>20</v>
      </c>
      <c r="AD39" s="45">
        <f>AC39-1</f>
        <v>19</v>
      </c>
      <c r="AE39" s="45">
        <f>AD39-1</f>
        <v>18</v>
      </c>
      <c r="AF39" s="45">
        <f>AE39-1</f>
        <v>17</v>
      </c>
      <c r="AG39" s="45">
        <f>AF39-1</f>
        <v>16</v>
      </c>
      <c r="AH39" s="45">
        <f>AG39-1</f>
        <v>15</v>
      </c>
      <c r="AI39" s="45">
        <f>AH39-1</f>
        <v>14</v>
      </c>
      <c r="AJ39" s="45">
        <f>AI39-1</f>
        <v>13</v>
      </c>
      <c r="AK39" s="45">
        <f>AJ39-1</f>
        <v>12</v>
      </c>
      <c r="AL39" s="45">
        <f>AK39-1</f>
        <v>11</v>
      </c>
      <c r="AM39" s="45">
        <f>AL39-1</f>
        <v>10</v>
      </c>
      <c r="AN39" s="45">
        <f>AM39-1</f>
        <v>9</v>
      </c>
      <c r="AO39" s="45">
        <f>AN39-1</f>
        <v>8</v>
      </c>
      <c r="AP39" s="45">
        <f>AO39-1</f>
        <v>7</v>
      </c>
      <c r="AQ39" s="45">
        <f>AP39-1</f>
        <v>6</v>
      </c>
      <c r="AR39" s="45">
        <f>AQ39-1</f>
        <v>5</v>
      </c>
      <c r="AS39" s="45">
        <f>AR39-1</f>
        <v>4</v>
      </c>
      <c r="AT39" s="45">
        <f>AS39-1</f>
        <v>3</v>
      </c>
      <c r="AU39" s="45">
        <f>AT39-1</f>
        <v>2</v>
      </c>
      <c r="AV39" s="45">
        <f>AU39-1</f>
        <v>1</v>
      </c>
      <c r="AW39" s="45">
        <f>AV39-1</f>
        <v>0</v>
      </c>
    </row>
    <row r="40" spans="1:49" ht="39.4" customHeight="1" thickBot="1" x14ac:dyDescent="0.45">
      <c r="Q40" s="45" t="s">
        <v>13</v>
      </c>
      <c r="R40" s="47" t="s">
        <v>158</v>
      </c>
      <c r="S40" s="48"/>
      <c r="T40" s="48"/>
      <c r="U40" s="48"/>
      <c r="V40" s="48"/>
      <c r="W40" s="48"/>
      <c r="X40" s="49"/>
      <c r="Y40" s="47" t="s">
        <v>16</v>
      </c>
      <c r="Z40" s="48"/>
      <c r="AA40" s="48"/>
      <c r="AB40" s="48"/>
      <c r="AC40" s="49"/>
      <c r="AD40" s="47" t="s">
        <v>15</v>
      </c>
      <c r="AE40" s="48"/>
      <c r="AF40" s="48"/>
      <c r="AG40" s="48"/>
      <c r="AH40" s="49"/>
      <c r="AI40" s="47" t="s">
        <v>170</v>
      </c>
      <c r="AJ40" s="48"/>
      <c r="AK40" s="49"/>
      <c r="AL40" s="47" t="s">
        <v>164</v>
      </c>
      <c r="AM40" s="48"/>
      <c r="AN40" s="48"/>
      <c r="AO40" s="48"/>
      <c r="AP40" s="49"/>
      <c r="AQ40" s="47" t="s">
        <v>163</v>
      </c>
      <c r="AR40" s="48"/>
      <c r="AS40" s="48"/>
      <c r="AT40" s="48"/>
      <c r="AU40" s="48"/>
      <c r="AV40" s="48"/>
      <c r="AW40" s="49"/>
    </row>
    <row r="41" spans="1:49" ht="39.4" customHeight="1" thickBot="1" x14ac:dyDescent="0.45">
      <c r="Q41" s="45" t="s">
        <v>57</v>
      </c>
      <c r="R41" s="47" t="s">
        <v>159</v>
      </c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9"/>
      <c r="AD41" s="47" t="s">
        <v>15</v>
      </c>
      <c r="AE41" s="48"/>
      <c r="AF41" s="48"/>
      <c r="AG41" s="48"/>
      <c r="AH41" s="49"/>
      <c r="AI41" s="47" t="s">
        <v>170</v>
      </c>
      <c r="AJ41" s="48"/>
      <c r="AK41" s="49"/>
      <c r="AL41" s="47" t="s">
        <v>164</v>
      </c>
      <c r="AM41" s="48"/>
      <c r="AN41" s="48"/>
      <c r="AO41" s="48"/>
      <c r="AP41" s="49"/>
      <c r="AQ41" s="47" t="s">
        <v>163</v>
      </c>
      <c r="AR41" s="48"/>
      <c r="AS41" s="48"/>
      <c r="AT41" s="48"/>
      <c r="AU41" s="48"/>
      <c r="AV41" s="48"/>
      <c r="AW41" s="49"/>
    </row>
    <row r="42" spans="1:49" s="36" customFormat="1" ht="39.4" customHeight="1" thickBot="1" x14ac:dyDescent="0.45">
      <c r="A42" s="40"/>
      <c r="C42" s="41"/>
      <c r="D42" s="41"/>
      <c r="E42" s="42"/>
      <c r="F42" s="43"/>
      <c r="H42" s="44"/>
      <c r="I42" s="41"/>
      <c r="J42" s="41"/>
      <c r="K42" s="41"/>
      <c r="L42" s="41"/>
      <c r="M42" s="41"/>
      <c r="N42" s="41"/>
      <c r="O42" s="41"/>
      <c r="Q42" s="45" t="s">
        <v>102</v>
      </c>
      <c r="R42" s="47" t="s">
        <v>160</v>
      </c>
      <c r="S42" s="48"/>
      <c r="T42" s="48"/>
      <c r="U42" s="48"/>
      <c r="V42" s="48"/>
      <c r="W42" s="48"/>
      <c r="X42" s="49"/>
      <c r="Y42" s="47" t="s">
        <v>16</v>
      </c>
      <c r="Z42" s="48"/>
      <c r="AA42" s="48"/>
      <c r="AB42" s="48"/>
      <c r="AC42" s="49"/>
      <c r="AD42" s="47" t="s">
        <v>15</v>
      </c>
      <c r="AE42" s="48"/>
      <c r="AF42" s="48"/>
      <c r="AG42" s="48"/>
      <c r="AH42" s="49"/>
      <c r="AI42" s="47" t="s">
        <v>170</v>
      </c>
      <c r="AJ42" s="48"/>
      <c r="AK42" s="49"/>
      <c r="AL42" s="47" t="s">
        <v>171</v>
      </c>
      <c r="AM42" s="48"/>
      <c r="AN42" s="48"/>
      <c r="AO42" s="48"/>
      <c r="AP42" s="49"/>
      <c r="AQ42" s="47" t="s">
        <v>163</v>
      </c>
      <c r="AR42" s="48"/>
      <c r="AS42" s="48"/>
      <c r="AT42" s="48"/>
      <c r="AU42" s="48"/>
      <c r="AV42" s="48"/>
      <c r="AW42" s="49"/>
    </row>
    <row r="43" spans="1:49" ht="39.4" customHeight="1" thickBot="1" x14ac:dyDescent="0.45">
      <c r="Q43" s="45" t="s">
        <v>113</v>
      </c>
      <c r="R43" s="46" t="s">
        <v>168</v>
      </c>
      <c r="S43" s="47" t="s">
        <v>169</v>
      </c>
      <c r="T43" s="48"/>
      <c r="U43" s="48"/>
      <c r="V43" s="48"/>
      <c r="W43" s="48"/>
      <c r="X43" s="49"/>
      <c r="Y43" s="47" t="s">
        <v>16</v>
      </c>
      <c r="Z43" s="48"/>
      <c r="AA43" s="48"/>
      <c r="AB43" s="48"/>
      <c r="AC43" s="49"/>
      <c r="AD43" s="47" t="s">
        <v>15</v>
      </c>
      <c r="AE43" s="48"/>
      <c r="AF43" s="48"/>
      <c r="AG43" s="48"/>
      <c r="AH43" s="49"/>
      <c r="AI43" s="47" t="s">
        <v>170</v>
      </c>
      <c r="AJ43" s="48"/>
      <c r="AK43" s="49"/>
      <c r="AL43" s="47" t="s">
        <v>172</v>
      </c>
      <c r="AM43" s="48"/>
      <c r="AN43" s="48"/>
      <c r="AO43" s="49"/>
      <c r="AP43" s="46" t="s">
        <v>166</v>
      </c>
      <c r="AQ43" s="47" t="s">
        <v>163</v>
      </c>
      <c r="AR43" s="48"/>
      <c r="AS43" s="48"/>
      <c r="AT43" s="48"/>
      <c r="AU43" s="48"/>
      <c r="AV43" s="48"/>
      <c r="AW43" s="49"/>
    </row>
    <row r="44" spans="1:49" ht="39.4" customHeight="1" thickBot="1" x14ac:dyDescent="0.45">
      <c r="Q44" s="45" t="s">
        <v>133</v>
      </c>
      <c r="R44" s="46" t="s">
        <v>161</v>
      </c>
      <c r="S44" s="47" t="s">
        <v>162</v>
      </c>
      <c r="T44" s="48"/>
      <c r="U44" s="48"/>
      <c r="V44" s="48"/>
      <c r="W44" s="48"/>
      <c r="X44" s="48"/>
      <c r="Y44" s="48"/>
      <c r="Z44" s="48"/>
      <c r="AA44" s="48"/>
      <c r="AB44" s="49"/>
      <c r="AC44" s="46" t="s">
        <v>166</v>
      </c>
      <c r="AD44" s="47" t="s">
        <v>165</v>
      </c>
      <c r="AE44" s="48"/>
      <c r="AF44" s="48"/>
      <c r="AG44" s="48"/>
      <c r="AH44" s="48"/>
      <c r="AI44" s="48"/>
      <c r="AJ44" s="48"/>
      <c r="AK44" s="49"/>
      <c r="AL44" s="47" t="s">
        <v>164</v>
      </c>
      <c r="AM44" s="48"/>
      <c r="AN44" s="48"/>
      <c r="AO44" s="48"/>
      <c r="AP44" s="49"/>
      <c r="AQ44" s="47" t="s">
        <v>163</v>
      </c>
      <c r="AR44" s="48"/>
      <c r="AS44" s="48"/>
      <c r="AT44" s="48"/>
      <c r="AU44" s="48"/>
      <c r="AV44" s="48"/>
      <c r="AW44" s="49"/>
    </row>
    <row r="45" spans="1:49" ht="39.4" customHeight="1" thickBot="1" x14ac:dyDescent="0.45">
      <c r="Q45" s="45" t="s">
        <v>141</v>
      </c>
      <c r="R45" s="47" t="s">
        <v>167</v>
      </c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9"/>
      <c r="AL45" s="47" t="s">
        <v>164</v>
      </c>
      <c r="AM45" s="48"/>
      <c r="AN45" s="48"/>
      <c r="AO45" s="48"/>
      <c r="AP45" s="49"/>
      <c r="AQ45" s="47" t="s">
        <v>163</v>
      </c>
      <c r="AR45" s="48"/>
      <c r="AS45" s="48"/>
      <c r="AT45" s="48"/>
      <c r="AU45" s="48"/>
      <c r="AV45" s="48"/>
      <c r="AW45" s="49"/>
    </row>
  </sheetData>
  <mergeCells count="30">
    <mergeCell ref="R42:X42"/>
    <mergeCell ref="S43:X43"/>
    <mergeCell ref="S44:AB44"/>
    <mergeCell ref="R45:AK45"/>
    <mergeCell ref="AD44:AK44"/>
    <mergeCell ref="AD43:AH43"/>
    <mergeCell ref="AD42:AH42"/>
    <mergeCell ref="Y42:AC42"/>
    <mergeCell ref="Y43:AC43"/>
    <mergeCell ref="R40:X40"/>
    <mergeCell ref="Y40:AC40"/>
    <mergeCell ref="AD40:AH40"/>
    <mergeCell ref="AI40:AK40"/>
    <mergeCell ref="AI41:AK41"/>
    <mergeCell ref="R41:AC41"/>
    <mergeCell ref="AD41:AH41"/>
    <mergeCell ref="AQ44:AW44"/>
    <mergeCell ref="AQ45:AW45"/>
    <mergeCell ref="AL40:AP40"/>
    <mergeCell ref="AL41:AP41"/>
    <mergeCell ref="AL42:AP42"/>
    <mergeCell ref="AL43:AO43"/>
    <mergeCell ref="AL44:AP44"/>
    <mergeCell ref="AL45:AP45"/>
    <mergeCell ref="AQ40:AW40"/>
    <mergeCell ref="AQ41:AW41"/>
    <mergeCell ref="AQ42:AW42"/>
    <mergeCell ref="AQ43:AW43"/>
    <mergeCell ref="AI43:AK43"/>
    <mergeCell ref="AI42:AK42"/>
  </mergeCells>
  <phoneticPr fontId="1" type="noConversion"/>
  <printOptions horizontalCentered="1" verticalCentered="1"/>
  <pageMargins left="0" right="0" top="0" bottom="0" header="0" footer="0"/>
  <pageSetup paperSize="8" orientation="landscape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Arin Bryan</cp:lastModifiedBy>
  <cp:lastPrinted>2026-04-15T23:54:04Z</cp:lastPrinted>
  <dcterms:created xsi:type="dcterms:W3CDTF">2026-04-01T20:02:01Z</dcterms:created>
  <dcterms:modified xsi:type="dcterms:W3CDTF">2026-04-15T23:54:10Z</dcterms:modified>
</cp:coreProperties>
</file>